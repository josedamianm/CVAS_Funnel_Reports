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semanco/CVAS/CVAS_Funnel_Reports/"/>
    </mc:Choice>
  </mc:AlternateContent>
  <xr:revisionPtr revIDLastSave="0" documentId="13_ncr:1_{B2780FBC-35F2-5848-9A52-DD1D56220FC7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Servic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</calcChain>
</file>

<file path=xl/sharedStrings.xml><?xml version="1.0" encoding="utf-8"?>
<sst xmlns="http://schemas.openxmlformats.org/spreadsheetml/2006/main" count="32" uniqueCount="32">
  <si>
    <t>Master_CPC[Service Name]</t>
  </si>
  <si>
    <t>IntimaX</t>
  </si>
  <si>
    <t>Rincon Prohibido</t>
  </si>
  <si>
    <t>The Tourist</t>
  </si>
  <si>
    <t>El Mundo Al Revés</t>
  </si>
  <si>
    <t>Noticias Emocion</t>
  </si>
  <si>
    <t>Deportes emocion</t>
  </si>
  <si>
    <t>Cuidate Mejor</t>
  </si>
  <si>
    <t>Sexducate con LB</t>
  </si>
  <si>
    <t>Yo Mujer y +</t>
  </si>
  <si>
    <t>Slow Life</t>
  </si>
  <si>
    <t>Movistar Juegos</t>
  </si>
  <si>
    <t>Kids Play</t>
  </si>
  <si>
    <t>Smile &amp; Learn</t>
  </si>
  <si>
    <t>[TopLine_Revenue]</t>
  </si>
  <si>
    <t>[Base_usuarios]</t>
  </si>
  <si>
    <t>[v_Activaciones_Revenue]</t>
  </si>
  <si>
    <t>[v__Activaciones]</t>
  </si>
  <si>
    <t>[v_Renovaciones_Revenue]</t>
  </si>
  <si>
    <t>[v_Renovaciones]</t>
  </si>
  <si>
    <t>[v_Rfnds]</t>
  </si>
  <si>
    <t>[Rfnds_U_U]</t>
  </si>
  <si>
    <t>[Total_Refnds]</t>
  </si>
  <si>
    <t>[v__Churn_from_act2]</t>
  </si>
  <si>
    <t>[v__Chur_prev_base]</t>
  </si>
  <si>
    <t>[v__Churn]</t>
  </si>
  <si>
    <t>[v_Auto_Ref]</t>
  </si>
  <si>
    <t>[Auto_Ref_UU]</t>
  </si>
  <si>
    <t>[Automatic_Refund_Amount]</t>
  </si>
  <si>
    <t>[v_Reg_Ref]</t>
  </si>
  <si>
    <t>[Reg_Ref_UU]</t>
  </si>
  <si>
    <t>[Reg_Refund_Amount]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</si>
</sst>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160" zoomScaleNormal="16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O19" sqref="O19"/>
    </sheetView>
  </sheetViews>
  <sheetFormatPr baseColWidth="10" defaultColWidth="8.83203125" defaultRowHeight="15" x14ac:dyDescent="0.2"/>
  <cols>
    <col min="1" max="1" width="23.6640625" bestFit="1" customWidth="1"/>
    <col min="2" max="2" width="8.1640625" style="3" bestFit="1" customWidth="1"/>
    <col min="3" max="3" width="14.5" style="3" bestFit="1" customWidth="1"/>
    <col min="4" max="4" width="9.6640625" style="3" bestFit="1" customWidth="1"/>
    <col min="5" max="5" width="15.33203125" style="3" bestFit="1" customWidth="1"/>
    <col min="6" max="6" width="14.33203125" style="3" bestFit="1" customWidth="1"/>
    <col min="7" max="7" width="15.5" style="3" bestFit="1" customWidth="1"/>
    <col min="8" max="8" width="12.33203125" style="3" bestFit="1" customWidth="1"/>
    <col min="9" max="9" width="14.5" style="3" bestFit="1" customWidth="1"/>
    <col min="10" max="10" width="10.6640625" style="3" bestFit="1" customWidth="1"/>
    <col min="11" max="11" width="9.1640625" style="3" bestFit="1" customWidth="1"/>
    <col min="12" max="12" width="13.5" style="3" bestFit="1" customWidth="1"/>
    <col min="13" max="13" width="7.83203125" style="3" bestFit="1" customWidth="1"/>
    <col min="14" max="14" width="11.83203125" bestFit="1" customWidth="1"/>
    <col min="15" max="15" width="10.1640625" bestFit="1" customWidth="1"/>
  </cols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5" x14ac:dyDescent="0.2">
      <c r="A2" t="s">
        <v>14</v>
      </c>
      <c r="B2" s="3">
        <v>5675.02</v>
      </c>
      <c r="C2" s="3">
        <v>2734.29</v>
      </c>
      <c r="D2" s="3">
        <v>4808.0400000000036</v>
      </c>
      <c r="E2" s="3">
        <v>44199.310000000027</v>
      </c>
      <c r="F2" s="3">
        <v>101333.33999999989</v>
      </c>
      <c r="G2" s="3">
        <v>67110.989999999932</v>
      </c>
      <c r="H2" s="3">
        <v>6261.4499999999971</v>
      </c>
      <c r="I2" s="3">
        <v>23150.239999999991</v>
      </c>
      <c r="J2" s="3">
        <v>23482.1</v>
      </c>
      <c r="K2" s="3">
        <v>94205.800000000017</v>
      </c>
      <c r="L2" s="3">
        <v>55804.279999999992</v>
      </c>
      <c r="M2" s="3">
        <v>6860.699999999998</v>
      </c>
      <c r="N2">
        <v>406.72</v>
      </c>
      <c r="O2">
        <f>SUM(B2:N2)</f>
        <v>436032.2799999998</v>
      </c>
    </row>
    <row r="3" spans="1:15" x14ac:dyDescent="0.2">
      <c r="A3" t="s">
        <v>15</v>
      </c>
      <c r="B3" s="3">
        <v>421</v>
      </c>
      <c r="C3" s="3">
        <v>492</v>
      </c>
      <c r="D3" s="3">
        <v>504</v>
      </c>
      <c r="E3" s="3">
        <v>5176</v>
      </c>
      <c r="F3" s="3">
        <v>12415</v>
      </c>
      <c r="G3" s="3">
        <v>8619</v>
      </c>
      <c r="H3" s="3">
        <v>1456</v>
      </c>
      <c r="I3" s="3">
        <v>3145</v>
      </c>
      <c r="J3" s="3">
        <v>5473</v>
      </c>
      <c r="K3" s="3">
        <v>8358</v>
      </c>
      <c r="L3" s="3">
        <v>7844</v>
      </c>
      <c r="M3" s="3">
        <v>1331</v>
      </c>
      <c r="N3">
        <v>56</v>
      </c>
      <c r="O3">
        <f t="shared" ref="O3:O19" si="0">SUM(B3:N3)</f>
        <v>55290</v>
      </c>
    </row>
    <row r="4" spans="1:15" x14ac:dyDescent="0.2">
      <c r="A4" t="s">
        <v>16</v>
      </c>
      <c r="F4" s="3">
        <v>106.96</v>
      </c>
      <c r="K4" s="3">
        <v>3729.7</v>
      </c>
      <c r="L4" s="3">
        <v>913.48</v>
      </c>
      <c r="O4">
        <f t="shared" si="0"/>
        <v>4750.1399999999994</v>
      </c>
    </row>
    <row r="5" spans="1:15" x14ac:dyDescent="0.2">
      <c r="A5" t="s">
        <v>17</v>
      </c>
      <c r="F5" s="3">
        <v>56</v>
      </c>
      <c r="K5" s="3">
        <v>1510</v>
      </c>
      <c r="L5" s="3">
        <v>784</v>
      </c>
      <c r="O5">
        <f t="shared" si="0"/>
        <v>2350</v>
      </c>
    </row>
    <row r="6" spans="1:15" x14ac:dyDescent="0.2">
      <c r="A6" t="s">
        <v>18</v>
      </c>
      <c r="B6" s="3">
        <v>5675.02</v>
      </c>
      <c r="C6" s="3">
        <v>2734.29</v>
      </c>
      <c r="D6" s="3">
        <v>4808.0400000000036</v>
      </c>
      <c r="E6" s="3">
        <v>44199.310000000027</v>
      </c>
      <c r="F6" s="3">
        <v>101226.3799999999</v>
      </c>
      <c r="G6" s="3">
        <v>67110.989999999932</v>
      </c>
      <c r="H6" s="3">
        <v>6261.4499999999971</v>
      </c>
      <c r="I6" s="3">
        <v>23150.239999999991</v>
      </c>
      <c r="J6" s="3">
        <v>23482.1</v>
      </c>
      <c r="K6" s="3">
        <v>90476.100000000035</v>
      </c>
      <c r="L6" s="3">
        <v>54890.799999999967</v>
      </c>
      <c r="M6" s="3">
        <v>6860.699999999998</v>
      </c>
      <c r="N6">
        <v>406.72</v>
      </c>
      <c r="O6">
        <f t="shared" si="0"/>
        <v>431282.13999999984</v>
      </c>
    </row>
    <row r="7" spans="1:15" x14ac:dyDescent="0.2">
      <c r="A7" t="s">
        <v>19</v>
      </c>
      <c r="B7" s="3">
        <v>1898</v>
      </c>
      <c r="C7" s="3">
        <v>2223</v>
      </c>
      <c r="D7" s="3">
        <v>2334</v>
      </c>
      <c r="E7" s="3">
        <v>23141</v>
      </c>
      <c r="F7" s="3">
        <v>55634</v>
      </c>
      <c r="G7" s="3">
        <v>38441</v>
      </c>
      <c r="H7" s="3">
        <v>6591</v>
      </c>
      <c r="I7" s="3">
        <v>14116</v>
      </c>
      <c r="J7" s="3">
        <v>24718</v>
      </c>
      <c r="K7" s="3">
        <v>36630</v>
      </c>
      <c r="L7" s="3">
        <v>33470</v>
      </c>
      <c r="M7" s="3">
        <v>1386</v>
      </c>
      <c r="N7">
        <v>248</v>
      </c>
      <c r="O7">
        <f t="shared" si="0"/>
        <v>240830</v>
      </c>
    </row>
    <row r="8" spans="1:15" x14ac:dyDescent="0.2">
      <c r="A8" t="s">
        <v>20</v>
      </c>
      <c r="B8" s="3">
        <v>45</v>
      </c>
      <c r="C8" s="3">
        <v>119</v>
      </c>
      <c r="D8" s="3">
        <v>79</v>
      </c>
      <c r="E8" s="3">
        <v>824</v>
      </c>
      <c r="F8" s="3">
        <v>2458</v>
      </c>
      <c r="G8" s="3">
        <v>1719</v>
      </c>
      <c r="H8" s="3">
        <v>222</v>
      </c>
      <c r="I8" s="3">
        <v>606</v>
      </c>
      <c r="J8" s="3">
        <v>989</v>
      </c>
      <c r="K8" s="3">
        <v>5687</v>
      </c>
      <c r="L8" s="3">
        <v>2456</v>
      </c>
      <c r="M8" s="3">
        <v>51</v>
      </c>
      <c r="O8">
        <f t="shared" si="0"/>
        <v>15255</v>
      </c>
    </row>
    <row r="9" spans="1:15" x14ac:dyDescent="0.2">
      <c r="A9" t="s">
        <v>21</v>
      </c>
      <c r="B9" s="3">
        <v>4</v>
      </c>
      <c r="C9" s="3">
        <v>7</v>
      </c>
      <c r="D9" s="3">
        <v>7</v>
      </c>
      <c r="E9" s="3">
        <v>75</v>
      </c>
      <c r="F9" s="3">
        <v>235</v>
      </c>
      <c r="G9" s="3">
        <v>145</v>
      </c>
      <c r="H9" s="3">
        <v>17</v>
      </c>
      <c r="I9" s="3">
        <v>54</v>
      </c>
      <c r="J9" s="3">
        <v>78</v>
      </c>
      <c r="K9" s="3">
        <v>1038</v>
      </c>
      <c r="L9" s="3">
        <v>280</v>
      </c>
      <c r="M9" s="3">
        <v>16</v>
      </c>
      <c r="O9">
        <f t="shared" si="0"/>
        <v>1956</v>
      </c>
    </row>
    <row r="10" spans="1:15" x14ac:dyDescent="0.2">
      <c r="A10" t="s">
        <v>22</v>
      </c>
      <c r="B10" s="3">
        <v>134.55000000000001</v>
      </c>
      <c r="C10" s="3">
        <v>146.37</v>
      </c>
      <c r="D10" s="3">
        <v>162.74</v>
      </c>
      <c r="E10" s="3">
        <v>1573.84</v>
      </c>
      <c r="F10" s="3">
        <v>4585.9399999999987</v>
      </c>
      <c r="G10" s="3">
        <v>3104.2499999999991</v>
      </c>
      <c r="H10" s="3">
        <v>210.9</v>
      </c>
      <c r="I10" s="3">
        <v>993.8399999999998</v>
      </c>
      <c r="J10" s="3">
        <v>939.5500000000003</v>
      </c>
      <c r="K10" s="3">
        <v>14046.89</v>
      </c>
      <c r="L10" s="3">
        <v>4027.8399999999988</v>
      </c>
      <c r="M10" s="3">
        <v>252.45</v>
      </c>
      <c r="O10">
        <f t="shared" si="0"/>
        <v>30179.16</v>
      </c>
    </row>
    <row r="11" spans="1:15" x14ac:dyDescent="0.2">
      <c r="A11" t="s">
        <v>23</v>
      </c>
      <c r="F11" s="3">
        <v>22</v>
      </c>
      <c r="K11" s="3">
        <v>507</v>
      </c>
      <c r="L11" s="3">
        <v>203</v>
      </c>
      <c r="O11">
        <f t="shared" si="0"/>
        <v>732</v>
      </c>
    </row>
    <row r="12" spans="1:15" x14ac:dyDescent="0.2">
      <c r="A12" t="s">
        <v>24</v>
      </c>
      <c r="B12" s="3">
        <v>9</v>
      </c>
      <c r="C12" s="3">
        <v>16</v>
      </c>
      <c r="D12" s="3">
        <v>20</v>
      </c>
      <c r="E12" s="3">
        <v>159</v>
      </c>
      <c r="F12" s="3">
        <v>361</v>
      </c>
      <c r="G12" s="3">
        <v>266</v>
      </c>
      <c r="H12" s="3">
        <v>35</v>
      </c>
      <c r="I12" s="3">
        <v>114</v>
      </c>
      <c r="J12" s="3">
        <v>141</v>
      </c>
      <c r="K12" s="3">
        <v>929</v>
      </c>
      <c r="L12" s="3">
        <v>502</v>
      </c>
      <c r="M12" s="3">
        <v>30</v>
      </c>
      <c r="O12">
        <f t="shared" si="0"/>
        <v>2582</v>
      </c>
    </row>
    <row r="13" spans="1:15" x14ac:dyDescent="0.2">
      <c r="A13" t="s">
        <v>25</v>
      </c>
      <c r="B13" s="3">
        <v>9</v>
      </c>
      <c r="C13" s="3">
        <v>16</v>
      </c>
      <c r="D13" s="3">
        <v>20</v>
      </c>
      <c r="E13" s="3">
        <v>159</v>
      </c>
      <c r="F13" s="3">
        <v>383</v>
      </c>
      <c r="G13" s="3">
        <v>266</v>
      </c>
      <c r="H13" s="3">
        <v>35</v>
      </c>
      <c r="I13" s="3">
        <v>114</v>
      </c>
      <c r="J13" s="3">
        <v>141</v>
      </c>
      <c r="K13" s="3">
        <v>1436</v>
      </c>
      <c r="L13" s="3">
        <v>705</v>
      </c>
      <c r="M13" s="3">
        <v>30</v>
      </c>
      <c r="O13">
        <f t="shared" si="0"/>
        <v>3314</v>
      </c>
    </row>
    <row r="14" spans="1:15" x14ac:dyDescent="0.2">
      <c r="A14" t="s">
        <v>26</v>
      </c>
      <c r="F14" s="3">
        <v>25</v>
      </c>
      <c r="K14" s="3">
        <v>444</v>
      </c>
      <c r="L14" s="3">
        <v>14</v>
      </c>
      <c r="O14">
        <f t="shared" si="0"/>
        <v>483</v>
      </c>
    </row>
    <row r="15" spans="1:15" x14ac:dyDescent="0.2">
      <c r="A15" t="s">
        <v>27</v>
      </c>
      <c r="F15" s="3">
        <v>22</v>
      </c>
      <c r="K15" s="3">
        <v>435</v>
      </c>
      <c r="L15" s="3">
        <v>9</v>
      </c>
      <c r="O15">
        <f t="shared" si="0"/>
        <v>466</v>
      </c>
    </row>
    <row r="16" spans="1:15" x14ac:dyDescent="0.2">
      <c r="A16" t="s">
        <v>28</v>
      </c>
      <c r="F16" s="3">
        <v>47.75</v>
      </c>
      <c r="K16" s="3">
        <v>1096.68</v>
      </c>
      <c r="L16" s="3">
        <v>22.96</v>
      </c>
      <c r="O16">
        <f t="shared" si="0"/>
        <v>1167.3900000000001</v>
      </c>
    </row>
    <row r="17" spans="1:15" x14ac:dyDescent="0.2">
      <c r="A17" t="s">
        <v>29</v>
      </c>
      <c r="B17" s="3">
        <v>45</v>
      </c>
      <c r="C17" s="3">
        <v>119</v>
      </c>
      <c r="D17" s="3">
        <v>79</v>
      </c>
      <c r="E17" s="3">
        <v>824</v>
      </c>
      <c r="F17" s="3">
        <v>2433</v>
      </c>
      <c r="G17" s="3">
        <v>1719</v>
      </c>
      <c r="H17" s="3">
        <v>222</v>
      </c>
      <c r="I17" s="3">
        <v>606</v>
      </c>
      <c r="J17" s="3">
        <v>989</v>
      </c>
      <c r="K17" s="3">
        <v>5243</v>
      </c>
      <c r="L17" s="3">
        <v>2442</v>
      </c>
      <c r="M17" s="3">
        <v>51</v>
      </c>
      <c r="O17">
        <f t="shared" si="0"/>
        <v>14772</v>
      </c>
    </row>
    <row r="18" spans="1:15" x14ac:dyDescent="0.2">
      <c r="A18" t="s">
        <v>30</v>
      </c>
      <c r="B18" s="3">
        <v>4</v>
      </c>
      <c r="C18" s="3">
        <v>7</v>
      </c>
      <c r="D18" s="3">
        <v>7</v>
      </c>
      <c r="E18" s="3">
        <v>75</v>
      </c>
      <c r="F18" s="3">
        <v>213</v>
      </c>
      <c r="G18" s="3">
        <v>145</v>
      </c>
      <c r="H18" s="3">
        <v>17</v>
      </c>
      <c r="I18" s="3">
        <v>54</v>
      </c>
      <c r="J18" s="3">
        <v>78</v>
      </c>
      <c r="K18" s="3">
        <v>604</v>
      </c>
      <c r="L18" s="3">
        <v>271</v>
      </c>
      <c r="M18" s="3">
        <v>16</v>
      </c>
      <c r="O18">
        <f t="shared" si="0"/>
        <v>1491</v>
      </c>
    </row>
    <row r="19" spans="1:15" x14ac:dyDescent="0.2">
      <c r="A19" t="s">
        <v>31</v>
      </c>
      <c r="B19" s="3">
        <v>134.55000000000001</v>
      </c>
      <c r="C19" s="3">
        <v>146.37</v>
      </c>
      <c r="D19" s="3">
        <v>162.74</v>
      </c>
      <c r="E19" s="3">
        <v>1573.84</v>
      </c>
      <c r="F19" s="3">
        <v>4538.1899999999987</v>
      </c>
      <c r="G19" s="3">
        <v>3104.2499999999991</v>
      </c>
      <c r="H19" s="3">
        <v>210.9</v>
      </c>
      <c r="I19" s="3">
        <v>993.8399999999998</v>
      </c>
      <c r="J19" s="3">
        <v>939.5500000000003</v>
      </c>
      <c r="K19" s="3">
        <v>12950.21</v>
      </c>
      <c r="L19" s="3">
        <v>4004.8799999999992</v>
      </c>
      <c r="M19" s="3">
        <v>252.45</v>
      </c>
      <c r="O19">
        <f t="shared" si="0"/>
        <v>29011.77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Manco</cp:lastModifiedBy>
  <dcterms:created xsi:type="dcterms:W3CDTF">2026-02-02T15:35:51Z</dcterms:created>
  <dcterms:modified xsi:type="dcterms:W3CDTF">2026-02-02T16:23:52Z</dcterms:modified>
</cp:coreProperties>
</file>